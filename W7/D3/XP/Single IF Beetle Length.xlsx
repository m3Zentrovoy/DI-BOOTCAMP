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ntrovoy/Downloads/Excel file/"/>
    </mc:Choice>
  </mc:AlternateContent>
  <xr:revisionPtr revIDLastSave="0" documentId="13_ncr:1_{8062A5F5-5D09-654B-87AA-598E442C851B}" xr6:coauthVersionLast="47" xr6:coauthVersionMax="47" xr10:uidLastSave="{00000000-0000-0000-0000-000000000000}"/>
  <bookViews>
    <workbookView xWindow="0" yWindow="780" windowWidth="34200" windowHeight="19340" activeTab="1" xr2:uid="{00000000-000D-0000-FFFF-FFFF00000000}"/>
  </bookViews>
  <sheets>
    <sheet name="Sheet1" sheetId="1" r:id="rId1"/>
    <sheet name="Sheet3" sheetId="3" r:id="rId2"/>
  </sheets>
  <calcPr calcId="191029"/>
  <pivotCaches>
    <pivotCache cacheId="3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B21" i="1"/>
  <c r="C5" i="1" s="1"/>
  <c r="D5" i="1" s="1"/>
  <c r="C12" i="1" l="1"/>
  <c r="D12" i="1" s="1"/>
  <c r="C20" i="1"/>
  <c r="D20" i="1" s="1"/>
  <c r="C7" i="1"/>
  <c r="D7" i="1" s="1"/>
  <c r="C14" i="1"/>
  <c r="D14" i="1" s="1"/>
  <c r="C6" i="1"/>
  <c r="D6" i="1" s="1"/>
  <c r="C19" i="1"/>
  <c r="D19" i="1" s="1"/>
  <c r="C11" i="1"/>
  <c r="D11" i="1" s="1"/>
  <c r="C18" i="1"/>
  <c r="D18" i="1" s="1"/>
  <c r="C10" i="1"/>
  <c r="D10" i="1" s="1"/>
  <c r="C17" i="1"/>
  <c r="D17" i="1" s="1"/>
  <c r="C9" i="1"/>
  <c r="D9" i="1" s="1"/>
  <c r="C16" i="1"/>
  <c r="D16" i="1" s="1"/>
  <c r="C8" i="1"/>
  <c r="D8" i="1" s="1"/>
  <c r="C15" i="1"/>
  <c r="D15" i="1" s="1"/>
  <c r="C4" i="1"/>
  <c r="D4" i="1" s="1"/>
  <c r="C13" i="1"/>
  <c r="D13" i="1" s="1"/>
</calcChain>
</file>

<file path=xl/sharedStrings.xml><?xml version="1.0" encoding="utf-8"?>
<sst xmlns="http://schemas.openxmlformats.org/spreadsheetml/2006/main" count="173" uniqueCount="99">
  <si>
    <t>Sample</t>
  </si>
  <si>
    <t>Length</t>
  </si>
  <si>
    <t>Result</t>
  </si>
  <si>
    <t>Average</t>
  </si>
  <si>
    <t>Extra Comment</t>
  </si>
  <si>
    <t>Extra Challenge - Extra Comment</t>
  </si>
  <si>
    <t>Anything less = "Short"</t>
  </si>
  <si>
    <t>Beetle Length Study of School Playing Fields</t>
  </si>
  <si>
    <t>BE64</t>
  </si>
  <si>
    <t>BE98</t>
  </si>
  <si>
    <t>BE42</t>
  </si>
  <si>
    <t>BE67</t>
  </si>
  <si>
    <t>BE66</t>
  </si>
  <si>
    <t>BE12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</si>
  <si>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</si>
  <si>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</si>
  <si>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</si>
  <si>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</si>
  <si>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</si>
  <si>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</si>
  <si>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</si>
  <si>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</si>
  <si>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</si>
  <si>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</si>
  <si>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</si>
  <si>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In column C if beetle is &gt; average = "Long"</t>
  </si>
  <si>
    <t>In comment cell if beetle is long</t>
  </si>
  <si>
    <t>Plus calculate how much longer than average</t>
  </si>
  <si>
    <t>TT67624G</t>
  </si>
  <si>
    <t>Plane</t>
  </si>
  <si>
    <t>Port of Spain</t>
  </si>
  <si>
    <t>Trinidad</t>
  </si>
  <si>
    <t>GR7878G</t>
  </si>
  <si>
    <t>Granada</t>
  </si>
  <si>
    <t>Spain</t>
  </si>
  <si>
    <t>WE6735L</t>
  </si>
  <si>
    <t>Madrid</t>
  </si>
  <si>
    <t>SV767HH</t>
  </si>
  <si>
    <t>Train</t>
  </si>
  <si>
    <t>Seville</t>
  </si>
  <si>
    <t>I6675SP</t>
  </si>
  <si>
    <t>Barcelona</t>
  </si>
  <si>
    <t>PL8726P</t>
  </si>
  <si>
    <t>Malaga</t>
  </si>
  <si>
    <t>GG9836P</t>
  </si>
  <si>
    <t>Coach</t>
  </si>
  <si>
    <t>AJ9836L</t>
  </si>
  <si>
    <t>TH8956SP</t>
  </si>
  <si>
    <t>NM9876Y</t>
  </si>
  <si>
    <t>A776ESP</t>
  </si>
  <si>
    <t>TH990ESP</t>
  </si>
  <si>
    <t>Nerja</t>
  </si>
  <si>
    <t>KSA8987</t>
  </si>
  <si>
    <t>Riyadh</t>
  </si>
  <si>
    <t>Saudi Arabia</t>
  </si>
  <si>
    <t>PG7836G</t>
  </si>
  <si>
    <t>Lima</t>
  </si>
  <si>
    <t>Peru</t>
  </si>
  <si>
    <t>BR6736G</t>
  </si>
  <si>
    <t>Berlin</t>
  </si>
  <si>
    <t>Germany</t>
  </si>
  <si>
    <t>A111G</t>
  </si>
  <si>
    <t>Black Forest</t>
  </si>
  <si>
    <t>FR5625J</t>
  </si>
  <si>
    <t>Nimes</t>
  </si>
  <si>
    <t>France</t>
  </si>
  <si>
    <t>SG7637L</t>
  </si>
  <si>
    <t>Toulouse</t>
  </si>
  <si>
    <t>I7897FR</t>
  </si>
  <si>
    <t>Nice</t>
  </si>
  <si>
    <t>TH788FR</t>
  </si>
  <si>
    <t>Paris - Euro Disney</t>
  </si>
  <si>
    <t>TH789FR</t>
  </si>
  <si>
    <t>A7995FR</t>
  </si>
  <si>
    <t>Lyon</t>
  </si>
  <si>
    <t>BG726H</t>
  </si>
  <si>
    <t>Bognor</t>
  </si>
  <si>
    <t>England</t>
  </si>
  <si>
    <t>I456UK</t>
  </si>
  <si>
    <t>London</t>
  </si>
  <si>
    <t>CH266H</t>
  </si>
  <si>
    <t>Santiago</t>
  </si>
  <si>
    <t>Chile</t>
  </si>
  <si>
    <t>AUS112J</t>
  </si>
  <si>
    <t>Perth</t>
  </si>
  <si>
    <t>Australia</t>
  </si>
  <si>
    <t>I990AUS</t>
  </si>
  <si>
    <t>Great Barrier Reef</t>
  </si>
  <si>
    <t>Holiday ID</t>
  </si>
  <si>
    <t>Price</t>
  </si>
  <si>
    <t>Travel Method</t>
  </si>
  <si>
    <t>No of Days</t>
  </si>
  <si>
    <t>Resort Name</t>
  </si>
  <si>
    <t>Country</t>
  </si>
  <si>
    <t>Row Labels</t>
  </si>
  <si>
    <t>Grand Total</t>
  </si>
  <si>
    <t>Average of Price</t>
  </si>
  <si>
    <t>Count of Holiday ID</t>
  </si>
  <si>
    <t>Details for Count of Holiday ID - Travel Method: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</si>
</sst>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£&quot;#,##0;[Red]\-&quot;£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29303B"/>
      <name val="Helvetica Neue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1" applyBorder="1" applyAlignment="1">
      <alignment horizontal="center"/>
    </xf>
    <xf numFmtId="165" fontId="6" fillId="0" borderId="1" xfId="1" applyNumberFormat="1" applyBorder="1" applyAlignment="1">
      <alignment horizontal="center"/>
    </xf>
    <xf numFmtId="0" fontId="7" fillId="4" borderId="1" xfId="1" applyFont="1" applyFill="1" applyBorder="1" applyAlignment="1">
      <alignment horizontal="center"/>
    </xf>
    <xf numFmtId="0" fontId="6" fillId="0" borderId="0" xfId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2">
    <cellStyle name="Normal" xfId="0" builtinId="0"/>
    <cellStyle name="Normal_Sheet1" xfId="1" xr:uid="{68E1D330-CD1A-8A44-920A-E31524CDD0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26240</xdr:colOff>
      <xdr:row>19</xdr:row>
      <xdr:rowOff>151120</xdr:rowOff>
    </xdr:from>
    <xdr:to>
      <xdr:col>1</xdr:col>
      <xdr:colOff>26600</xdr:colOff>
      <xdr:row>19</xdr:row>
      <xdr:rowOff>151480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34DFF2C9-6556-68C3-F6F9-8096D3ACFBE2}"/>
                </a:ext>
              </a:extLst>
            </xdr14:cNvPr>
            <xdr14:cNvContentPartPr/>
          </xdr14:nvContentPartPr>
          <xdr14:nvPr macro=""/>
          <xdr14:xfrm>
            <a:off x="1997280" y="38188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4DFF2C9-6556-68C3-F6F9-8096D3ACFBE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91160" y="381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238240</xdr:colOff>
      <xdr:row>14</xdr:row>
      <xdr:rowOff>170040</xdr:rowOff>
    </xdr:from>
    <xdr:to>
      <xdr:col>1</xdr:col>
      <xdr:colOff>238600</xdr:colOff>
      <xdr:row>14</xdr:row>
      <xdr:rowOff>170400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438AF18-BCBE-D73C-96B2-DD86E7F89BC7}"/>
                </a:ext>
              </a:extLst>
            </xdr14:cNvPr>
            <xdr14:cNvContentPartPr/>
          </xdr14:nvContentPartPr>
          <xdr14:nvPr macro=""/>
          <xdr14:xfrm>
            <a:off x="1162800" y="248652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438AF18-BCBE-D73C-96B2-DD86E7F89BC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56680" y="24804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469080</xdr:colOff>
      <xdr:row>13</xdr:row>
      <xdr:rowOff>154640</xdr:rowOff>
    </xdr:from>
    <xdr:to>
      <xdr:col>0</xdr:col>
      <xdr:colOff>469440</xdr:colOff>
      <xdr:row>13</xdr:row>
      <xdr:rowOff>155000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EC06C2C0-E203-9F5D-1084-77B15EAEB679}"/>
                </a:ext>
              </a:extLst>
            </xdr14:cNvPr>
            <xdr14:cNvContentPartPr/>
          </xdr14:nvContentPartPr>
          <xdr14:nvPr macro=""/>
          <xdr14:xfrm>
            <a:off x="469080" y="227808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EC06C2C0-E203-9F5D-1084-77B15EAEB67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2960" y="2271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08T10:32:18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08T10:32:18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08T10:32:18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 Maksim Prokopenko" refreshedDate="45846.556636805559" createdVersion="8" refreshedVersion="8" minRefreshableVersion="3" recordCount="28" xr:uid="{7F0CE74B-ABAA-A046-BE7F-CE146FDD51A4}">
  <cacheSource type="worksheet">
    <worksheetSource ref="K5:K32" sheet="Source Data"/>
  </cacheSource>
  <cacheFields count="6">
    <cacheField name="Country" numFmtId="0">
      <sharedItems/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5">
      <sharedItems containsSemiMixedTypes="0" containsString="0" containsNumber="1" containsInteger="1" minValue="12" maxValue="1259" count="24">
        <n v="750"/>
        <n v="985"/>
        <n v="1259"/>
        <n v="69"/>
        <n v="12"/>
        <n v="399"/>
        <n v="269"/>
        <n v="125"/>
        <n v="289"/>
        <n v="256"/>
        <n v="287"/>
        <n v="975"/>
        <n v="995"/>
        <n v="219"/>
        <n v="198"/>
        <n v="234"/>
        <n v="288"/>
        <n v="199"/>
        <n v="177"/>
        <n v="301"/>
        <n v="299"/>
        <n v="277"/>
        <n v="345"/>
        <n v="885"/>
      </sharedItems>
    </cacheField>
    <cacheField name="Holiday ID" numFmtId="0">
      <sharedItems count="27">
        <s v="I990AUS"/>
        <s v="AUS112J"/>
        <s v="CH266H"/>
        <s v="I456UK"/>
        <s v="BG726H"/>
        <s v="A7995FR"/>
        <s v="TH789FR"/>
        <s v="TH788FR"/>
        <s v="I7897FR"/>
        <s v="SG7637L"/>
        <s v="FR5625J"/>
        <s v="A111G"/>
        <s v="BR6736G"/>
        <s v="PG7836G"/>
        <s v="KSA8987"/>
        <s v="I6675SP"/>
        <s v="TH990ESP"/>
        <s v="A776ESP"/>
        <s v="NM9876Y"/>
        <s v="TH8956SP"/>
        <s v="AJ9836L"/>
        <s v="GG9836P"/>
        <s v="PL8726P"/>
        <s v="SV767HH"/>
        <s v="WE6735L"/>
        <s v="GR7878G"/>
        <s v="TT67624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Australia"/>
    <x v="0"/>
    <n v="32"/>
    <x v="0"/>
    <x v="0"/>
    <x v="0"/>
  </r>
  <r>
    <s v="Australia"/>
    <x v="1"/>
    <n v="28"/>
    <x v="0"/>
    <x v="1"/>
    <x v="1"/>
  </r>
  <r>
    <s v="Chile"/>
    <x v="2"/>
    <n v="21"/>
    <x v="0"/>
    <x v="2"/>
    <x v="2"/>
  </r>
  <r>
    <s v="England"/>
    <x v="3"/>
    <n v="3"/>
    <x v="1"/>
    <x v="3"/>
    <x v="3"/>
  </r>
  <r>
    <s v="England"/>
    <x v="4"/>
    <n v="1"/>
    <x v="2"/>
    <x v="4"/>
    <x v="4"/>
  </r>
  <r>
    <s v="France"/>
    <x v="5"/>
    <n v="14"/>
    <x v="0"/>
    <x v="5"/>
    <x v="5"/>
  </r>
  <r>
    <s v="France"/>
    <x v="6"/>
    <n v="5"/>
    <x v="1"/>
    <x v="6"/>
    <x v="6"/>
  </r>
  <r>
    <s v="France"/>
    <x v="6"/>
    <n v="3"/>
    <x v="1"/>
    <x v="7"/>
    <x v="7"/>
  </r>
  <r>
    <s v="France"/>
    <x v="7"/>
    <n v="7"/>
    <x v="0"/>
    <x v="8"/>
    <x v="8"/>
  </r>
  <r>
    <s v="France"/>
    <x v="8"/>
    <n v="7"/>
    <x v="1"/>
    <x v="9"/>
    <x v="9"/>
  </r>
  <r>
    <s v="France"/>
    <x v="9"/>
    <n v="7"/>
    <x v="0"/>
    <x v="10"/>
    <x v="10"/>
  </r>
  <r>
    <s v="Germany"/>
    <x v="10"/>
    <n v="4"/>
    <x v="2"/>
    <x v="3"/>
    <x v="11"/>
  </r>
  <r>
    <s v="Germany"/>
    <x v="11"/>
    <n v="7"/>
    <x v="2"/>
    <x v="8"/>
    <x v="12"/>
  </r>
  <r>
    <s v="Peru"/>
    <x v="12"/>
    <n v="21"/>
    <x v="0"/>
    <x v="11"/>
    <x v="13"/>
  </r>
  <r>
    <s v="Saudi Arabia"/>
    <x v="13"/>
    <n v="14"/>
    <x v="0"/>
    <x v="12"/>
    <x v="14"/>
  </r>
  <r>
    <s v="Spain"/>
    <x v="14"/>
    <n v="4"/>
    <x v="1"/>
    <x v="13"/>
    <x v="15"/>
  </r>
  <r>
    <s v="Spain"/>
    <x v="15"/>
    <n v="6"/>
    <x v="0"/>
    <x v="14"/>
    <x v="16"/>
  </r>
  <r>
    <s v="Spain"/>
    <x v="16"/>
    <n v="16"/>
    <x v="0"/>
    <x v="15"/>
    <x v="17"/>
  </r>
  <r>
    <s v="Spain"/>
    <x v="17"/>
    <n v="14"/>
    <x v="0"/>
    <x v="16"/>
    <x v="18"/>
  </r>
  <r>
    <s v="Spain"/>
    <x v="17"/>
    <n v="10"/>
    <x v="0"/>
    <x v="17"/>
    <x v="19"/>
  </r>
  <r>
    <s v="Spain"/>
    <x v="14"/>
    <n v="8"/>
    <x v="0"/>
    <x v="18"/>
    <x v="20"/>
  </r>
  <r>
    <s v="Spain"/>
    <x v="14"/>
    <n v="7"/>
    <x v="2"/>
    <x v="17"/>
    <x v="21"/>
  </r>
  <r>
    <s v="Spain"/>
    <x v="16"/>
    <n v="14"/>
    <x v="0"/>
    <x v="19"/>
    <x v="22"/>
  </r>
  <r>
    <s v="Spain"/>
    <x v="14"/>
    <n v="4"/>
    <x v="1"/>
    <x v="13"/>
    <x v="15"/>
  </r>
  <r>
    <s v="Spain"/>
    <x v="17"/>
    <n v="14"/>
    <x v="1"/>
    <x v="20"/>
    <x v="23"/>
  </r>
  <r>
    <s v="Spain"/>
    <x v="18"/>
    <n v="8"/>
    <x v="0"/>
    <x v="21"/>
    <x v="24"/>
  </r>
  <r>
    <s v="Spain"/>
    <x v="19"/>
    <n v="10"/>
    <x v="0"/>
    <x v="22"/>
    <x v="25"/>
  </r>
  <r>
    <s v="Trinidad"/>
    <x v="20"/>
    <n v="14"/>
    <x v="0"/>
    <x v="23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62BF5-2EF0-A54F-9B7B-D044970E601F}" name="PivotTable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8" firstHeaderRow="0" firstDataRow="1" firstDataCol="1" rowPageCount="1" colPageCount="1"/>
  <pivotFields count="6">
    <pivotField showAll="0"/>
    <pivotField axis="axisRow" showAll="0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showAll="0"/>
    <pivotField axis="axisPage" multipleItemSelectionAllowed="1" showAll="0">
      <items count="4">
        <item h="1" x="2"/>
        <item x="0"/>
        <item h="1" x="1"/>
        <item t="default"/>
      </items>
    </pivotField>
    <pivotField dataField="1" numFmtId="165" showAll="0">
      <items count="25">
        <item x="4"/>
        <item x="3"/>
        <item x="7"/>
        <item x="18"/>
        <item x="14"/>
        <item x="17"/>
        <item x="13"/>
        <item x="15"/>
        <item x="9"/>
        <item x="6"/>
        <item x="21"/>
        <item x="10"/>
        <item x="16"/>
        <item x="8"/>
        <item x="20"/>
        <item x="19"/>
        <item x="22"/>
        <item x="5"/>
        <item x="0"/>
        <item x="23"/>
        <item x="11"/>
        <item x="1"/>
        <item x="12"/>
        <item x="2"/>
        <item t="default"/>
      </items>
    </pivotField>
    <pivotField dataField="1" showAll="0">
      <items count="28">
        <item x="11"/>
        <item x="17"/>
        <item x="5"/>
        <item x="20"/>
        <item x="1"/>
        <item x="4"/>
        <item x="12"/>
        <item x="2"/>
        <item x="10"/>
        <item x="21"/>
        <item x="25"/>
        <item x="3"/>
        <item x="15"/>
        <item x="8"/>
        <item x="0"/>
        <item x="14"/>
        <item x="18"/>
        <item x="13"/>
        <item x="22"/>
        <item x="9"/>
        <item x="23"/>
        <item x="7"/>
        <item x="6"/>
        <item x="19"/>
        <item x="16"/>
        <item x="26"/>
        <item x="24"/>
        <item t="default"/>
      </items>
    </pivotField>
  </pivotFields>
  <rowFields count="1">
    <field x="1"/>
  </rowFields>
  <rowItems count="3"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Average of Price" fld="4" subtotal="average" baseField="0" baseItem="0" numFmtId="165"/>
    <dataField name="Count of Holiday ID" fld="5" subtotal="count" baseField="0" baseItem="0"/>
  </dataFields>
  <pivotTableStyleInfo name="PivotStyleLight16" showRowHeaders="1" showColHeaders="1" showRowStripes="0" showColStripes="0" showLastColumn="1"/>
  <filters count="1">
    <filter fld="1" type="captionBeginsWith" evalOrder="-1" id="5" stringValue1="S">
      <autoFilter ref="A1">
        <filterColumn colId="0">
          <customFilters>
            <customFilter val="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DB251C-7EBD-3249-A48F-11C7EF43C6D7}" name="Table13" displayName="Table13" ref="A13:F16" totalsRowShown="0">
  <autoFilter ref="A13:F16" xr:uid="{D3DB251C-7EBD-3249-A48F-11C7EF43C6D7}"/>
  <tableColumns count="6">
    <tableColumn id="1" xr3:uid="{2D3ECAA0-EBF5-2D40-8985-F0F0700E6F6A}" name="Country"/>
    <tableColumn id="2" xr3:uid="{ABE8B1AF-A0D7-4445-93FF-1C2CC0C60C69}" name="Resort Name"/>
    <tableColumn id="3" xr3:uid="{625191E6-1110-C04E-9CA6-373FF7FD2BD1}" name="No of Days"/>
    <tableColumn id="4" xr3:uid="{4E96B089-F6AB-AA40-9B64-3203B08AA9FF}" name="Travel Method"/>
    <tableColumn id="5" xr3:uid="{44DA5720-C0E6-2342-BDCF-6B9B33012346}" name="Price"/>
    <tableColumn id="6" xr3:uid="{3643A14A-1A6C-494F-9C7E-AACD03119E0F}" name="Holiday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150" zoomScaleNormal="70" workbookViewId="0">
      <selection activeCell="G11" sqref="G11"/>
    </sheetView>
  </sheetViews>
  <sheetFormatPr baseColWidth="10" defaultColWidth="8.83203125" defaultRowHeight="15" x14ac:dyDescent="0.2"/>
  <cols>
    <col min="1" max="1" width="7.83203125" customWidth="1"/>
    <col min="2" max="2" width="7.33203125" customWidth="1"/>
    <col min="3" max="3" width="7.6640625" style="4" customWidth="1"/>
    <col min="4" max="4" width="33" style="4" bestFit="1" customWidth="1"/>
    <col min="5" max="5" width="3.6640625" customWidth="1"/>
  </cols>
  <sheetData>
    <row r="1" spans="1:6" ht="19" x14ac:dyDescent="0.25">
      <c r="A1" s="3" t="s">
        <v>7</v>
      </c>
    </row>
    <row r="3" spans="1:6" ht="19" x14ac:dyDescent="0.25">
      <c r="A3" s="1" t="s">
        <v>0</v>
      </c>
      <c r="B3" s="2" t="s">
        <v>1</v>
      </c>
      <c r="C3" s="5" t="s">
        <v>2</v>
      </c>
      <c r="D3" s="5" t="s">
        <v>4</v>
      </c>
      <c r="F3" s="6" t="s">
        <v>25</v>
      </c>
    </row>
    <row r="4" spans="1:6" s="10" customFormat="1" ht="18" customHeight="1" x14ac:dyDescent="0.2">
      <c r="A4" s="7" t="s">
        <v>8</v>
      </c>
      <c r="B4" s="8">
        <v>20.7</v>
      </c>
      <c r="C4" s="14" t="str">
        <f>IF(B4 &gt; B$21, "LONG", IF(B4 &lt; B$21, "SHORT"))</f>
        <v>LONG</v>
      </c>
      <c r="D4" s="9" t="str">
        <f>IF(C4="LONG", "This sample is " &amp; TEXT(B4-$B$21, "0.00") &amp; " longer than average", "")</f>
        <v>This sample is 14.01 longer than average</v>
      </c>
      <c r="F4" s="10" t="s">
        <v>6</v>
      </c>
    </row>
    <row r="5" spans="1:6" s="10" customFormat="1" ht="18" customHeight="1" x14ac:dyDescent="0.2">
      <c r="A5" s="7" t="s">
        <v>9</v>
      </c>
      <c r="B5" s="8">
        <v>6.1</v>
      </c>
      <c r="C5" s="14" t="str">
        <f t="shared" ref="C5:C20" si="0">IF(B5 &gt; B$21, "LONG", IF(B5 &lt; B$21, "SHORT"))</f>
        <v>SHORT</v>
      </c>
      <c r="D5" s="9" t="str">
        <f t="shared" ref="D5:D20" si="1">IF(C5="LONG", "This sample is " &amp; TEXT(B5-$B$21, "0.00") &amp; " longer than average", "")</f>
        <v/>
      </c>
    </row>
    <row r="6" spans="1:6" s="10" customFormat="1" ht="18" customHeight="1" x14ac:dyDescent="0.2">
      <c r="A6" s="7" t="s">
        <v>10</v>
      </c>
      <c r="B6" s="8">
        <v>2.9</v>
      </c>
      <c r="C6" s="14" t="str">
        <f t="shared" si="0"/>
        <v>SHORT</v>
      </c>
      <c r="D6" s="9" t="str">
        <f t="shared" si="1"/>
        <v/>
      </c>
      <c r="F6" s="11" t="s">
        <v>5</v>
      </c>
    </row>
    <row r="7" spans="1:6" s="10" customFormat="1" ht="18" customHeight="1" x14ac:dyDescent="0.2">
      <c r="A7" s="7" t="s">
        <v>11</v>
      </c>
      <c r="B7" s="8">
        <v>3.5</v>
      </c>
      <c r="C7" s="14" t="str">
        <f t="shared" si="0"/>
        <v>SHORT</v>
      </c>
      <c r="D7" s="9" t="str">
        <f t="shared" si="1"/>
        <v/>
      </c>
    </row>
    <row r="8" spans="1:6" s="10" customFormat="1" ht="18" customHeight="1" x14ac:dyDescent="0.2">
      <c r="A8" s="7" t="s">
        <v>12</v>
      </c>
      <c r="B8" s="8">
        <v>3.6</v>
      </c>
      <c r="C8" s="14" t="str">
        <f t="shared" si="0"/>
        <v>SHORT</v>
      </c>
      <c r="D8" s="9" t="str">
        <f t="shared" si="1"/>
        <v/>
      </c>
      <c r="F8" s="12" t="s">
        <v>26</v>
      </c>
    </row>
    <row r="9" spans="1:6" s="10" customFormat="1" ht="18" customHeight="1" x14ac:dyDescent="0.2">
      <c r="A9" s="7" t="s">
        <v>13</v>
      </c>
      <c r="B9" s="8">
        <v>3.8</v>
      </c>
      <c r="C9" s="14" t="str">
        <f t="shared" si="0"/>
        <v>SHORT</v>
      </c>
      <c r="D9" s="9" t="str">
        <f t="shared" si="1"/>
        <v/>
      </c>
      <c r="F9" s="10" t="s">
        <v>27</v>
      </c>
    </row>
    <row r="10" spans="1:6" s="10" customFormat="1" ht="18" customHeight="1" x14ac:dyDescent="0.2">
      <c r="A10" s="7" t="s">
        <v>14</v>
      </c>
      <c r="B10" s="8">
        <v>6.9</v>
      </c>
      <c r="C10" s="14" t="str">
        <f t="shared" si="0"/>
        <v>LONG</v>
      </c>
      <c r="D10" s="9" t="str">
        <f t="shared" si="1"/>
        <v>This sample is 0.21 longer than average</v>
      </c>
    </row>
    <row r="11" spans="1:6" s="10" customFormat="1" ht="18" customHeight="1" x14ac:dyDescent="0.2">
      <c r="A11" s="7" t="s">
        <v>15</v>
      </c>
      <c r="B11" s="8">
        <v>8.1</v>
      </c>
      <c r="C11" s="14" t="str">
        <f t="shared" si="0"/>
        <v>LONG</v>
      </c>
      <c r="D11" s="9" t="str">
        <f t="shared" si="1"/>
        <v>This sample is 1.41 longer than average</v>
      </c>
    </row>
    <row r="12" spans="1:6" s="10" customFormat="1" ht="18" customHeight="1" x14ac:dyDescent="0.2">
      <c r="A12" s="7" t="s">
        <v>16</v>
      </c>
      <c r="B12" s="8">
        <v>5.3</v>
      </c>
      <c r="C12" s="14" t="str">
        <f t="shared" si="0"/>
        <v>SHORT</v>
      </c>
      <c r="D12" s="9" t="str">
        <f t="shared" si="1"/>
        <v/>
      </c>
    </row>
    <row r="13" spans="1:6" s="10" customFormat="1" ht="18" customHeight="1" x14ac:dyDescent="0.2">
      <c r="A13" s="7" t="s">
        <v>17</v>
      </c>
      <c r="B13" s="8">
        <v>5.2</v>
      </c>
      <c r="C13" s="14" t="str">
        <f t="shared" si="0"/>
        <v>SHORT</v>
      </c>
      <c r="D13" s="9" t="str">
        <f t="shared" si="1"/>
        <v/>
      </c>
    </row>
    <row r="14" spans="1:6" s="10" customFormat="1" ht="18" customHeight="1" x14ac:dyDescent="0.2">
      <c r="A14" s="7" t="s">
        <v>18</v>
      </c>
      <c r="B14" s="8">
        <v>4.7</v>
      </c>
      <c r="C14" s="14" t="str">
        <f t="shared" si="0"/>
        <v>SHORT</v>
      </c>
      <c r="D14" s="9" t="str">
        <f t="shared" si="1"/>
        <v/>
      </c>
    </row>
    <row r="15" spans="1:6" s="10" customFormat="1" ht="18" customHeight="1" x14ac:dyDescent="0.2">
      <c r="A15" s="7" t="s">
        <v>19</v>
      </c>
      <c r="B15" s="8">
        <v>4.5999999999999996</v>
      </c>
      <c r="C15" s="14" t="str">
        <f t="shared" si="0"/>
        <v>SHORT</v>
      </c>
      <c r="D15" s="9" t="str">
        <f t="shared" si="1"/>
        <v/>
      </c>
    </row>
    <row r="16" spans="1:6" s="10" customFormat="1" ht="18" customHeight="1" x14ac:dyDescent="0.2">
      <c r="A16" s="7" t="s">
        <v>20</v>
      </c>
      <c r="B16" s="8">
        <v>7.4</v>
      </c>
      <c r="C16" s="14" t="str">
        <f t="shared" si="0"/>
        <v>LONG</v>
      </c>
      <c r="D16" s="9" t="str">
        <f t="shared" si="1"/>
        <v>This sample is 0.71 longer than average</v>
      </c>
    </row>
    <row r="17" spans="1:4" s="10" customFormat="1" ht="18" customHeight="1" x14ac:dyDescent="0.2">
      <c r="A17" s="7" t="s">
        <v>21</v>
      </c>
      <c r="B17" s="8">
        <v>8.6999999999999993</v>
      </c>
      <c r="C17" s="14" t="str">
        <f t="shared" si="0"/>
        <v>LONG</v>
      </c>
      <c r="D17" s="9" t="str">
        <f t="shared" si="1"/>
        <v>This sample is 2.01 longer than average</v>
      </c>
    </row>
    <row r="18" spans="1:4" s="10" customFormat="1" ht="18" customHeight="1" x14ac:dyDescent="0.2">
      <c r="A18" s="7" t="s">
        <v>22</v>
      </c>
      <c r="B18" s="8">
        <v>6.2</v>
      </c>
      <c r="C18" s="14" t="str">
        <f t="shared" si="0"/>
        <v>SHORT</v>
      </c>
      <c r="D18" s="9" t="str">
        <f t="shared" si="1"/>
        <v/>
      </c>
    </row>
    <row r="19" spans="1:4" s="10" customFormat="1" ht="18" customHeight="1" x14ac:dyDescent="0.2">
      <c r="A19" s="7" t="s">
        <v>23</v>
      </c>
      <c r="B19" s="8">
        <v>7.8</v>
      </c>
      <c r="C19" s="14" t="str">
        <f t="shared" si="0"/>
        <v>LONG</v>
      </c>
      <c r="D19" s="9" t="str">
        <f t="shared" si="1"/>
        <v>This sample is 1.11 longer than average</v>
      </c>
    </row>
    <row r="20" spans="1:4" s="10" customFormat="1" ht="18" customHeight="1" x14ac:dyDescent="0.2">
      <c r="A20" s="7" t="s">
        <v>24</v>
      </c>
      <c r="B20" s="8">
        <v>8.1999999999999993</v>
      </c>
      <c r="C20" s="14" t="str">
        <f t="shared" si="0"/>
        <v>LONG</v>
      </c>
      <c r="D20" s="9" t="str">
        <f t="shared" si="1"/>
        <v>This sample is 1.51 longer than average</v>
      </c>
    </row>
    <row r="21" spans="1:4" s="10" customFormat="1" ht="18" customHeight="1" x14ac:dyDescent="0.2">
      <c r="A21" s="7" t="s">
        <v>3</v>
      </c>
      <c r="B21" s="13">
        <f>AVERAGE(B4:B20)</f>
        <v>6.6882352941176473</v>
      </c>
      <c r="C21" s="9"/>
      <c r="D21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C3B4-C70D-E540-A5D4-36C5C9B4E4E2}">
  <dimension ref="A2:Q30"/>
  <sheetViews>
    <sheetView tabSelected="1" zoomScale="125" workbookViewId="0">
      <selection activeCell="B23" sqref="B23"/>
    </sheetView>
  </sheetViews>
  <sheetFormatPr baseColWidth="10" defaultRowHeight="15" x14ac:dyDescent="0.2"/>
  <cols>
    <col min="1" max="1" width="12.1640625" bestFit="1" customWidth="1"/>
    <col min="2" max="2" width="13.6640625" bestFit="1" customWidth="1"/>
    <col min="3" max="3" width="16.5" bestFit="1" customWidth="1"/>
    <col min="4" max="4" width="5.5" bestFit="1" customWidth="1"/>
    <col min="5" max="5" width="9.1640625" bestFit="1" customWidth="1"/>
    <col min="6" max="6" width="11.1640625" bestFit="1" customWidth="1"/>
    <col min="7" max="7" width="16.1640625" bestFit="1" customWidth="1"/>
    <col min="8" max="8" width="10" bestFit="1" customWidth="1"/>
    <col min="9" max="9" width="12.6640625" bestFit="1" customWidth="1"/>
    <col min="10" max="10" width="6.33203125" bestFit="1" customWidth="1"/>
    <col min="11" max="11" width="9.83203125" bestFit="1" customWidth="1"/>
    <col min="12" max="12" width="11.1640625" bestFit="1" customWidth="1"/>
    <col min="13" max="13" width="16.1640625" bestFit="1" customWidth="1"/>
    <col min="14" max="14" width="10" bestFit="1" customWidth="1"/>
    <col min="15" max="15" width="12.6640625" bestFit="1" customWidth="1"/>
    <col min="16" max="16" width="6.33203125" bestFit="1" customWidth="1"/>
    <col min="17" max="17" width="9.83203125" bestFit="1" customWidth="1"/>
    <col min="18" max="18" width="5.5" bestFit="1" customWidth="1"/>
    <col min="19" max="19" width="9.1640625" bestFit="1" customWidth="1"/>
    <col min="20" max="20" width="5.5" bestFit="1" customWidth="1"/>
    <col min="21" max="21" width="9.1640625" bestFit="1" customWidth="1"/>
    <col min="22" max="22" width="5.5" bestFit="1" customWidth="1"/>
    <col min="23" max="23" width="9.1640625" bestFit="1" customWidth="1"/>
    <col min="24" max="24" width="5.5" bestFit="1" customWidth="1"/>
    <col min="25" max="25" width="9.1640625" bestFit="1" customWidth="1"/>
    <col min="26" max="26" width="5.5" bestFit="1" customWidth="1"/>
    <col min="27" max="27" width="9.1640625" bestFit="1" customWidth="1"/>
    <col min="28" max="28" width="5.5" bestFit="1" customWidth="1"/>
    <col min="29" max="29" width="9.1640625" bestFit="1" customWidth="1"/>
    <col min="30" max="30" width="5.5" bestFit="1" customWidth="1"/>
    <col min="31" max="31" width="9.1640625" bestFit="1" customWidth="1"/>
    <col min="32" max="32" width="5.5" bestFit="1" customWidth="1"/>
    <col min="33" max="33" width="9.1640625" bestFit="1" customWidth="1"/>
    <col min="34" max="34" width="6.33203125" bestFit="1" customWidth="1"/>
    <col min="35" max="35" width="10.6640625" bestFit="1" customWidth="1"/>
    <col min="36" max="36" width="10" bestFit="1" customWidth="1"/>
    <col min="37" max="37" width="15" bestFit="1" customWidth="1"/>
    <col min="38" max="38" width="8" bestFit="1" customWidth="1"/>
    <col min="39" max="39" width="10.5" bestFit="1" customWidth="1"/>
    <col min="40" max="40" width="9.33203125" bestFit="1" customWidth="1"/>
    <col min="41" max="41" width="11.83203125" bestFit="1" customWidth="1"/>
    <col min="42" max="42" width="8" bestFit="1" customWidth="1"/>
    <col min="43" max="43" width="5" bestFit="1" customWidth="1"/>
    <col min="44" max="44" width="10.5" bestFit="1" customWidth="1"/>
    <col min="45" max="45" width="9.83203125" bestFit="1" customWidth="1"/>
    <col min="46" max="46" width="12.33203125" bestFit="1" customWidth="1"/>
    <col min="47" max="47" width="10" bestFit="1" customWidth="1"/>
  </cols>
  <sheetData>
    <row r="2" spans="1:17" x14ac:dyDescent="0.2">
      <c r="G2" t="str">
        <f>IF(C4="LONG", "This sample is " &amp; TEXT(B4-$B$21, "0.00") &amp; " longer than average", "")</f>
        <v/>
      </c>
      <c r="L2" s="17" t="s">
        <v>93</v>
      </c>
      <c r="M2" s="17" t="s">
        <v>92</v>
      </c>
      <c r="N2" s="17" t="s">
        <v>91</v>
      </c>
      <c r="O2" s="17" t="s">
        <v>90</v>
      </c>
      <c r="P2" s="17" t="s">
        <v>89</v>
      </c>
      <c r="Q2" s="17" t="s">
        <v>88</v>
      </c>
    </row>
    <row r="3" spans="1:17" x14ac:dyDescent="0.2">
      <c r="A3" s="20" t="s">
        <v>90</v>
      </c>
      <c r="B3" t="s">
        <v>29</v>
      </c>
      <c r="F3" s="18"/>
      <c r="G3" s="18"/>
      <c r="H3" s="18"/>
      <c r="I3" s="18"/>
      <c r="J3" s="18"/>
      <c r="K3" s="18"/>
      <c r="L3" s="15" t="s">
        <v>85</v>
      </c>
      <c r="M3" s="15" t="s">
        <v>87</v>
      </c>
      <c r="N3" s="15">
        <v>32</v>
      </c>
      <c r="O3" s="15" t="s">
        <v>29</v>
      </c>
      <c r="P3" s="16">
        <v>750</v>
      </c>
      <c r="Q3" s="15" t="s">
        <v>86</v>
      </c>
    </row>
    <row r="4" spans="1:17" x14ac:dyDescent="0.2">
      <c r="L4" s="15" t="s">
        <v>85</v>
      </c>
      <c r="M4" s="15" t="s">
        <v>84</v>
      </c>
      <c r="N4" s="15">
        <v>28</v>
      </c>
      <c r="O4" s="15" t="s">
        <v>29</v>
      </c>
      <c r="P4" s="16">
        <v>985</v>
      </c>
      <c r="Q4" s="15" t="s">
        <v>83</v>
      </c>
    </row>
    <row r="5" spans="1:17" x14ac:dyDescent="0.2">
      <c r="A5" s="20" t="s">
        <v>94</v>
      </c>
      <c r="B5" t="s">
        <v>96</v>
      </c>
      <c r="C5" t="s">
        <v>97</v>
      </c>
      <c r="L5" s="15" t="s">
        <v>82</v>
      </c>
      <c r="M5" s="15" t="s">
        <v>81</v>
      </c>
      <c r="N5" s="15">
        <v>21</v>
      </c>
      <c r="O5" s="15" t="s">
        <v>29</v>
      </c>
      <c r="P5" s="16">
        <v>1259</v>
      </c>
      <c r="Q5" s="15" t="s">
        <v>80</v>
      </c>
    </row>
    <row r="6" spans="1:17" x14ac:dyDescent="0.2">
      <c r="A6" s="21" t="s">
        <v>81</v>
      </c>
      <c r="B6" s="19">
        <v>1259</v>
      </c>
      <c r="C6">
        <v>1</v>
      </c>
      <c r="L6" s="15" t="s">
        <v>77</v>
      </c>
      <c r="M6" s="15" t="s">
        <v>79</v>
      </c>
      <c r="N6" s="15">
        <v>3</v>
      </c>
      <c r="O6" s="15" t="s">
        <v>38</v>
      </c>
      <c r="P6" s="16">
        <v>69</v>
      </c>
      <c r="Q6" s="15" t="s">
        <v>78</v>
      </c>
    </row>
    <row r="7" spans="1:17" x14ac:dyDescent="0.2">
      <c r="A7" s="21" t="s">
        <v>39</v>
      </c>
      <c r="B7" s="19">
        <v>243.5</v>
      </c>
      <c r="C7">
        <v>2</v>
      </c>
      <c r="L7" s="15" t="s">
        <v>77</v>
      </c>
      <c r="M7" s="15" t="s">
        <v>76</v>
      </c>
      <c r="N7" s="15">
        <v>1</v>
      </c>
      <c r="O7" s="15" t="s">
        <v>45</v>
      </c>
      <c r="P7" s="16">
        <v>12</v>
      </c>
      <c r="Q7" s="15" t="s">
        <v>75</v>
      </c>
    </row>
    <row r="8" spans="1:17" x14ac:dyDescent="0.2">
      <c r="A8" s="21" t="s">
        <v>95</v>
      </c>
      <c r="B8" s="19">
        <v>582</v>
      </c>
      <c r="C8">
        <v>3</v>
      </c>
      <c r="L8" s="15" t="s">
        <v>65</v>
      </c>
      <c r="M8" s="15" t="s">
        <v>74</v>
      </c>
      <c r="N8" s="15">
        <v>14</v>
      </c>
      <c r="O8" s="15" t="s">
        <v>29</v>
      </c>
      <c r="P8" s="16">
        <v>399</v>
      </c>
      <c r="Q8" s="15" t="s">
        <v>73</v>
      </c>
    </row>
    <row r="9" spans="1:17" x14ac:dyDescent="0.2">
      <c r="A9" s="22" t="s">
        <v>98</v>
      </c>
      <c r="L9" s="15" t="s">
        <v>65</v>
      </c>
      <c r="M9" s="15" t="s">
        <v>71</v>
      </c>
      <c r="N9" s="15">
        <v>5</v>
      </c>
      <c r="O9" s="15" t="s">
        <v>38</v>
      </c>
      <c r="P9" s="16">
        <v>269</v>
      </c>
      <c r="Q9" s="15" t="s">
        <v>72</v>
      </c>
    </row>
    <row r="10" spans="1:17" x14ac:dyDescent="0.2">
      <c r="L10" s="15" t="s">
        <v>65</v>
      </c>
      <c r="M10" s="15" t="s">
        <v>71</v>
      </c>
      <c r="N10" s="15">
        <v>3</v>
      </c>
      <c r="O10" s="15" t="s">
        <v>38</v>
      </c>
      <c r="P10" s="16">
        <v>125</v>
      </c>
      <c r="Q10" s="15" t="s">
        <v>70</v>
      </c>
    </row>
    <row r="11" spans="1:17" ht="14" customHeight="1" x14ac:dyDescent="0.2">
      <c r="L11" s="15" t="s">
        <v>65</v>
      </c>
      <c r="M11" s="15" t="s">
        <v>69</v>
      </c>
      <c r="N11" s="15">
        <v>7</v>
      </c>
      <c r="O11" s="15" t="s">
        <v>29</v>
      </c>
      <c r="P11" s="16">
        <v>289</v>
      </c>
      <c r="Q11" s="15" t="s">
        <v>68</v>
      </c>
    </row>
    <row r="12" spans="1:17" x14ac:dyDescent="0.2">
      <c r="L12" s="15" t="s">
        <v>65</v>
      </c>
      <c r="M12" s="15" t="s">
        <v>67</v>
      </c>
      <c r="N12" s="15">
        <v>7</v>
      </c>
      <c r="O12" s="15" t="s">
        <v>38</v>
      </c>
      <c r="P12" s="16">
        <v>256</v>
      </c>
      <c r="Q12" s="15" t="s">
        <v>66</v>
      </c>
    </row>
    <row r="13" spans="1:17" x14ac:dyDescent="0.2">
      <c r="A13" t="s">
        <v>93</v>
      </c>
      <c r="B13" t="s">
        <v>92</v>
      </c>
      <c r="C13" t="s">
        <v>91</v>
      </c>
      <c r="D13" t="s">
        <v>90</v>
      </c>
      <c r="E13" t="s">
        <v>89</v>
      </c>
      <c r="F13" t="s">
        <v>88</v>
      </c>
      <c r="L13" s="15" t="s">
        <v>65</v>
      </c>
      <c r="M13" s="15" t="s">
        <v>64</v>
      </c>
      <c r="N13" s="15">
        <v>7</v>
      </c>
      <c r="O13" s="15" t="s">
        <v>29</v>
      </c>
      <c r="P13" s="16">
        <v>287</v>
      </c>
      <c r="Q13" s="15" t="s">
        <v>63</v>
      </c>
    </row>
    <row r="14" spans="1:17" x14ac:dyDescent="0.2">
      <c r="A14" t="s">
        <v>82</v>
      </c>
      <c r="B14" t="s">
        <v>81</v>
      </c>
      <c r="C14">
        <v>21</v>
      </c>
      <c r="D14" t="s">
        <v>29</v>
      </c>
      <c r="E14">
        <v>1259</v>
      </c>
      <c r="F14" t="s">
        <v>80</v>
      </c>
      <c r="L14" s="15" t="s">
        <v>60</v>
      </c>
      <c r="M14" s="15" t="s">
        <v>62</v>
      </c>
      <c r="N14" s="15">
        <v>4</v>
      </c>
      <c r="O14" s="15" t="s">
        <v>45</v>
      </c>
      <c r="P14" s="16">
        <v>69</v>
      </c>
      <c r="Q14" s="15" t="s">
        <v>61</v>
      </c>
    </row>
    <row r="15" spans="1:17" x14ac:dyDescent="0.2">
      <c r="A15" t="s">
        <v>34</v>
      </c>
      <c r="B15" t="s">
        <v>39</v>
      </c>
      <c r="C15">
        <v>10</v>
      </c>
      <c r="D15" t="s">
        <v>29</v>
      </c>
      <c r="E15">
        <v>199</v>
      </c>
      <c r="F15" t="s">
        <v>47</v>
      </c>
      <c r="L15" s="15" t="s">
        <v>60</v>
      </c>
      <c r="M15" s="15" t="s">
        <v>59</v>
      </c>
      <c r="N15" s="15">
        <v>7</v>
      </c>
      <c r="O15" s="15" t="s">
        <v>45</v>
      </c>
      <c r="P15" s="16">
        <v>289</v>
      </c>
      <c r="Q15" s="15" t="s">
        <v>58</v>
      </c>
    </row>
    <row r="16" spans="1:17" x14ac:dyDescent="0.2">
      <c r="A16" t="s">
        <v>34</v>
      </c>
      <c r="B16" t="s">
        <v>39</v>
      </c>
      <c r="C16">
        <v>14</v>
      </c>
      <c r="D16" t="s">
        <v>29</v>
      </c>
      <c r="E16">
        <v>288</v>
      </c>
      <c r="F16" t="s">
        <v>48</v>
      </c>
      <c r="L16" s="15" t="s">
        <v>57</v>
      </c>
      <c r="M16" s="15" t="s">
        <v>56</v>
      </c>
      <c r="N16" s="15">
        <v>21</v>
      </c>
      <c r="O16" s="15" t="s">
        <v>29</v>
      </c>
      <c r="P16" s="16">
        <v>975</v>
      </c>
      <c r="Q16" s="15" t="s">
        <v>55</v>
      </c>
    </row>
    <row r="17" spans="12:17" x14ac:dyDescent="0.2">
      <c r="L17" s="15" t="s">
        <v>54</v>
      </c>
      <c r="M17" s="15" t="s">
        <v>53</v>
      </c>
      <c r="N17" s="15">
        <v>14</v>
      </c>
      <c r="O17" s="15" t="s">
        <v>29</v>
      </c>
      <c r="P17" s="16">
        <v>995</v>
      </c>
      <c r="Q17" s="15" t="s">
        <v>52</v>
      </c>
    </row>
    <row r="18" spans="12:17" x14ac:dyDescent="0.2">
      <c r="L18" s="15" t="s">
        <v>34</v>
      </c>
      <c r="M18" s="15" t="s">
        <v>41</v>
      </c>
      <c r="N18" s="15">
        <v>4</v>
      </c>
      <c r="O18" s="15" t="s">
        <v>38</v>
      </c>
      <c r="P18" s="16">
        <v>219</v>
      </c>
      <c r="Q18" s="15" t="s">
        <v>40</v>
      </c>
    </row>
    <row r="19" spans="12:17" x14ac:dyDescent="0.2">
      <c r="L19" s="15" t="s">
        <v>34</v>
      </c>
      <c r="M19" s="15" t="s">
        <v>51</v>
      </c>
      <c r="N19" s="15">
        <v>6</v>
      </c>
      <c r="O19" s="15" t="s">
        <v>29</v>
      </c>
      <c r="P19" s="16">
        <v>198</v>
      </c>
      <c r="Q19" s="15" t="s">
        <v>50</v>
      </c>
    </row>
    <row r="20" spans="12:17" x14ac:dyDescent="0.2">
      <c r="L20" s="15" t="s">
        <v>34</v>
      </c>
      <c r="M20" s="15" t="s">
        <v>43</v>
      </c>
      <c r="N20" s="15">
        <v>16</v>
      </c>
      <c r="O20" s="15" t="s">
        <v>29</v>
      </c>
      <c r="P20" s="16">
        <v>234</v>
      </c>
      <c r="Q20" s="15" t="s">
        <v>49</v>
      </c>
    </row>
    <row r="21" spans="12:17" x14ac:dyDescent="0.2">
      <c r="L21" s="15" t="s">
        <v>34</v>
      </c>
      <c r="M21" s="15" t="s">
        <v>39</v>
      </c>
      <c r="N21" s="15">
        <v>14</v>
      </c>
      <c r="O21" s="15" t="s">
        <v>29</v>
      </c>
      <c r="P21" s="16">
        <v>288</v>
      </c>
      <c r="Q21" s="15" t="s">
        <v>48</v>
      </c>
    </row>
    <row r="22" spans="12:17" x14ac:dyDescent="0.2">
      <c r="L22" s="15" t="s">
        <v>34</v>
      </c>
      <c r="M22" s="15" t="s">
        <v>39</v>
      </c>
      <c r="N22" s="15">
        <v>10</v>
      </c>
      <c r="O22" s="15" t="s">
        <v>29</v>
      </c>
      <c r="P22" s="16">
        <v>199</v>
      </c>
      <c r="Q22" s="15" t="s">
        <v>47</v>
      </c>
    </row>
    <row r="23" spans="12:17" x14ac:dyDescent="0.2">
      <c r="L23" s="15" t="s">
        <v>34</v>
      </c>
      <c r="M23" s="15" t="s">
        <v>41</v>
      </c>
      <c r="N23" s="15">
        <v>8</v>
      </c>
      <c r="O23" s="15" t="s">
        <v>29</v>
      </c>
      <c r="P23" s="16">
        <v>177</v>
      </c>
      <c r="Q23" s="15" t="s">
        <v>46</v>
      </c>
    </row>
    <row r="24" spans="12:17" x14ac:dyDescent="0.2">
      <c r="L24" s="15" t="s">
        <v>34</v>
      </c>
      <c r="M24" s="15" t="s">
        <v>41</v>
      </c>
      <c r="N24" s="15">
        <v>7</v>
      </c>
      <c r="O24" s="15" t="s">
        <v>45</v>
      </c>
      <c r="P24" s="16">
        <v>199</v>
      </c>
      <c r="Q24" s="15" t="s">
        <v>44</v>
      </c>
    </row>
    <row r="25" spans="12:17" x14ac:dyDescent="0.2">
      <c r="L25" s="15" t="s">
        <v>34</v>
      </c>
      <c r="M25" s="15" t="s">
        <v>43</v>
      </c>
      <c r="N25" s="15">
        <v>14</v>
      </c>
      <c r="O25" s="15" t="s">
        <v>29</v>
      </c>
      <c r="P25" s="16">
        <v>301</v>
      </c>
      <c r="Q25" s="15" t="s">
        <v>42</v>
      </c>
    </row>
    <row r="26" spans="12:17" x14ac:dyDescent="0.2">
      <c r="L26" s="15" t="s">
        <v>34</v>
      </c>
      <c r="M26" s="15" t="s">
        <v>41</v>
      </c>
      <c r="N26" s="15">
        <v>4</v>
      </c>
      <c r="O26" s="15" t="s">
        <v>38</v>
      </c>
      <c r="P26" s="16">
        <v>219</v>
      </c>
      <c r="Q26" s="15" t="s">
        <v>40</v>
      </c>
    </row>
    <row r="27" spans="12:17" x14ac:dyDescent="0.2">
      <c r="L27" s="15" t="s">
        <v>34</v>
      </c>
      <c r="M27" s="15" t="s">
        <v>39</v>
      </c>
      <c r="N27" s="15">
        <v>14</v>
      </c>
      <c r="O27" s="15" t="s">
        <v>38</v>
      </c>
      <c r="P27" s="16">
        <v>299</v>
      </c>
      <c r="Q27" s="15" t="s">
        <v>37</v>
      </c>
    </row>
    <row r="28" spans="12:17" x14ac:dyDescent="0.2">
      <c r="L28" s="15" t="s">
        <v>34</v>
      </c>
      <c r="M28" s="15" t="s">
        <v>36</v>
      </c>
      <c r="N28" s="15">
        <v>8</v>
      </c>
      <c r="O28" s="15" t="s">
        <v>29</v>
      </c>
      <c r="P28" s="16">
        <v>277</v>
      </c>
      <c r="Q28" s="15" t="s">
        <v>35</v>
      </c>
    </row>
    <row r="29" spans="12:17" x14ac:dyDescent="0.2">
      <c r="L29" s="15" t="s">
        <v>34</v>
      </c>
      <c r="M29" s="15" t="s">
        <v>33</v>
      </c>
      <c r="N29" s="15">
        <v>10</v>
      </c>
      <c r="O29" s="15" t="s">
        <v>29</v>
      </c>
      <c r="P29" s="16">
        <v>345</v>
      </c>
      <c r="Q29" s="15" t="s">
        <v>32</v>
      </c>
    </row>
    <row r="30" spans="12:17" x14ac:dyDescent="0.2">
      <c r="L30" s="15" t="s">
        <v>31</v>
      </c>
      <c r="M30" s="15" t="s">
        <v>30</v>
      </c>
      <c r="N30" s="15">
        <v>14</v>
      </c>
      <c r="O30" s="15" t="s">
        <v>29</v>
      </c>
      <c r="P30" s="16">
        <v>885</v>
      </c>
      <c r="Q30" s="15" t="s">
        <v>28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דריה פרוקופנקו</cp:lastModifiedBy>
  <dcterms:created xsi:type="dcterms:W3CDTF">2018-01-30T17:44:28Z</dcterms:created>
  <dcterms:modified xsi:type="dcterms:W3CDTF">2025-07-08T10:34:44Z</dcterms:modified>
</cp:coreProperties>
</file>